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limo\PycharmProjects\pythonProject\reaxkit\src\reaxkit\workflows\force_field_opt\data\"/>
    </mc:Choice>
  </mc:AlternateContent>
  <xr:revisionPtr revIDLastSave="0" documentId="13_ncr:1_{723DD9ED-3CD8-4E31-8CB3-249DE0F554D3}" xr6:coauthVersionLast="47" xr6:coauthVersionMax="47" xr10:uidLastSave="{00000000-0000-0000-0000-000000000000}"/>
  <bookViews>
    <workbookView xWindow="-110" yWindow="-110" windowWidth="25820" windowHeight="13900" activeTab="3" xr2:uid="{00000000-000D-0000-FFFF-FFFF00000000}"/>
  </bookViews>
  <sheets>
    <sheet name="Sheet1" sheetId="7" r:id="rId1"/>
    <sheet name="bar_plots" sheetId="4" r:id="rId2"/>
    <sheet name="line_plots" sheetId="2" r:id="rId3"/>
    <sheet name="EOS_plots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2" l="1"/>
  <c r="C12" i="2" s="1"/>
  <c r="C14" i="2" l="1"/>
  <c r="C16" i="2"/>
  <c r="C18" i="2" s="1"/>
  <c r="C20" i="2" s="1"/>
  <c r="C10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20A32D7-3013-43F2-9CA8-F47E6F7A1B13}" keepAlive="1" name="Query - fort" description="Connection to the 'fort' query in the workbook." type="5" refreshedVersion="8" background="1" saveData="1">
    <dbPr connection="Provider=Microsoft.Mashup.OleDb.1;Data Source=$Workbook$;Location=fort;Extended Properties=&quot;&quot;" command="SELECT * FROM [fort]"/>
  </connection>
  <connection id="2" xr16:uid="{7D94DBF7-465D-4089-BF90-DA51E3532B6C}" keepAlive="1" name="Query - fort (12)" description="Connection to the 'fort (12)' query in the workbook." type="5" refreshedVersion="8" background="1" saveData="1">
    <dbPr connection="Provider=Microsoft.Mashup.OleDb.1;Data Source=$Workbook$;Location=&quot;fort (12)&quot;;Extended Properties=&quot;&quot;" command="SELECT * FROM [fort (12)]"/>
  </connection>
  <connection id="3" xr16:uid="{703C2CB6-E127-4EF7-9904-3968C3CD4799}" keepAlive="1" name="Query - fort (2)" description="Connection to the 'fort (2)' query in the workbook." type="5" refreshedVersion="8" background="1" saveData="1">
    <dbPr connection="Provider=Microsoft.Mashup.OleDb.1;Data Source=$Workbook$;Location=&quot;fort (2)&quot;;Extended Properties=&quot;&quot;" command="SELECT * FROM [fort (2)]"/>
  </connection>
</connections>
</file>

<file path=xl/sharedStrings.xml><?xml version="1.0" encoding="utf-8"?>
<sst xmlns="http://schemas.openxmlformats.org/spreadsheetml/2006/main" count="64" uniqueCount="57">
  <si>
    <t>Bare AlN surface</t>
  </si>
  <si>
    <t>Molecular H₂O adsorption</t>
  </si>
  <si>
    <t>Single dissociated water</t>
  </si>
  <si>
    <t>TS1: Proton relay step 1</t>
  </si>
  <si>
    <t>TS2: Proton relay step 2</t>
  </si>
  <si>
    <t>Desorbed NH₃</t>
  </si>
  <si>
    <r>
      <t>Two dissociated waters (2NH)</t>
    </r>
    <r>
      <rPr>
        <sz val="11"/>
        <color theme="1"/>
        <rFont val="Calibri"/>
        <family val="2"/>
        <scheme val="minor"/>
      </rPr>
      <t>*</t>
    </r>
  </si>
  <si>
    <r>
      <t>NH₂ intermediate</t>
    </r>
    <r>
      <rPr>
        <sz val="11"/>
        <color theme="1"/>
        <rFont val="Calibri"/>
        <family val="2"/>
        <scheme val="minor"/>
      </rPr>
      <t>*</t>
    </r>
  </si>
  <si>
    <r>
      <t>NH₃ adsorbed + O-filled vacancy</t>
    </r>
    <r>
      <rPr>
        <sz val="11"/>
        <color theme="1"/>
        <rFont val="Calibri"/>
        <family val="2"/>
        <scheme val="minor"/>
      </rPr>
      <t>*</t>
    </r>
  </si>
  <si>
    <t>Intermediate 2NH*</t>
  </si>
  <si>
    <t>Energy +bulk_0/1.00 -Zn_metal/2.00 -Pt_metal/4.00</t>
  </si>
  <si>
    <t>Energy +Zn_Pt111_top/1.00 -Pt111_slab/1.00 -Zn_atom/1.00</t>
  </si>
  <si>
    <t>Energy +Zn_Pt111_bridge/1.00 -Pt111_slab/1.00 -Zn_atom/1.00</t>
  </si>
  <si>
    <t>Energy +Zn_Pt111_hcp1/1.00 -Pt111_slab/1.00 -Zn_atom/1.00</t>
  </si>
  <si>
    <t>Energy +Zn_Pt111_hcp2/1.00 -Pt111_slab/1.00 -Zn_atom/1.00</t>
  </si>
  <si>
    <t>Energy +Zn_Pt111_hcp1/1.00 -Zn_Pt111_bridge/1.00</t>
  </si>
  <si>
    <t>Binding energy of a Zn atom to the Pt-(111) surface at top sites</t>
  </si>
  <si>
    <t>Binding energy of a Zn atom to the Pt-(111) surface at bridge sites</t>
  </si>
  <si>
    <t>Binding energy of a Zn atom to the Pt-(111) surface at hcp 1 sites</t>
  </si>
  <si>
    <t>Binding energy of a Zn atom to the Pt-(111) surface at hcp 2 sites</t>
  </si>
  <si>
    <t>Migration barrier between hcp sites</t>
  </si>
  <si>
    <t>Heat of formation for ZnPt</t>
  </si>
  <si>
    <t>Energy +ZnPtO      -Zn_metal      -Pt_metal/8.00 -o2_min/2.0</t>
  </si>
  <si>
    <t>Heat of formation for ZnPtO</t>
  </si>
  <si>
    <t xml:space="preserve"> bulk_c5</t>
  </si>
  <si>
    <t xml:space="preserve"> bulk_c4</t>
  </si>
  <si>
    <t xml:space="preserve"> bulk_c3</t>
  </si>
  <si>
    <t xml:space="preserve"> bulk_c2</t>
  </si>
  <si>
    <t xml:space="preserve"> bulk_c1</t>
  </si>
  <si>
    <t xml:space="preserve"> bulk_0 </t>
  </si>
  <si>
    <t xml:space="preserve"> bulk_e1</t>
  </si>
  <si>
    <t xml:space="preserve"> bulk_e2</t>
  </si>
  <si>
    <t xml:space="preserve"> bulk_e3</t>
  </si>
  <si>
    <t xml:space="preserve"> bulk_e4</t>
  </si>
  <si>
    <t xml:space="preserve"> bulk_e5</t>
  </si>
  <si>
    <t>line in fort.99</t>
  </si>
  <si>
    <t>Identifier to be used in plot</t>
  </si>
  <si>
    <t>identifier</t>
  </si>
  <si>
    <t>volume</t>
  </si>
  <si>
    <t>ReaxFF</t>
  </si>
  <si>
    <t>Blue</t>
  </si>
  <si>
    <t>#0057B8</t>
  </si>
  <si>
    <t>QM/Literature</t>
  </si>
  <si>
    <t>Red</t>
  </si>
  <si>
    <t>#D62728</t>
  </si>
  <si>
    <t>Colors used by ReaxKit 'get_ffield_opt_plots' command are as follows:</t>
  </si>
  <si>
    <t>default</t>
  </si>
  <si>
    <t>publication</t>
  </si>
  <si>
    <t>publication bold</t>
  </si>
  <si>
    <t>#1F77B4</t>
  </si>
  <si>
    <t>#C0504D</t>
  </si>
  <si>
    <t>#0072B2</t>
  </si>
  <si>
    <t>style</t>
  </si>
  <si>
    <t>color</t>
  </si>
  <si>
    <t>Data source</t>
  </si>
  <si>
    <t>ReaxFF Data</t>
  </si>
  <si>
    <t>QM (Literature)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</si>
</sst>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3" xfId="0" applyNumberForma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0" fillId="0" borderId="0" xfId="0" applyNumberFormat="1" applyAlignment="1">
      <alignment horizontal="left" vertical="center"/>
    </xf>
    <xf numFmtId="0" fontId="4" fillId="0" borderId="0" xfId="0" applyFont="1"/>
    <xf numFmtId="0" fontId="4" fillId="0" borderId="4" xfId="0" applyFont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2" fontId="0" fillId="0" borderId="4" xfId="0" applyNumberFormat="1" applyBorder="1" applyAlignment="1">
      <alignment horizontal="left" vertical="center"/>
    </xf>
    <xf numFmtId="164" fontId="0" fillId="0" borderId="1" xfId="0" applyNumberFormat="1" applyBorder="1" applyAlignment="1">
      <alignment vertical="center"/>
    </xf>
    <xf numFmtId="164" fontId="0" fillId="0" borderId="4" xfId="0" applyNumberFormat="1" applyBorder="1" applyAlignment="1">
      <alignment horizontal="left" vertical="center"/>
    </xf>
    <xf numFmtId="0" fontId="0" fillId="0" borderId="1" xfId="0" applyBorder="1"/>
    <xf numFmtId="0" fontId="4" fillId="0" borderId="1" xfId="0" applyFont="1" applyBorder="1"/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D62728"/>
      <color rgb="FF0057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991054969019622"/>
          <c:y val="3.930145806179796E-2"/>
          <c:w val="0.85033756789740222"/>
          <c:h val="0.8011438869522532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bar_plots!$D$1</c:f>
              <c:strCache>
                <c:ptCount val="1"/>
                <c:pt idx="0">
                  <c:v>QM (Literature) Data</c:v>
                </c:pt>
              </c:strCache>
            </c:strRef>
          </c:tx>
          <c:spPr>
            <a:solidFill>
              <a:srgbClr val="D62728"/>
            </a:solidFill>
            <a:ln w="44450">
              <a:solidFill>
                <a:srgbClr val="D62728"/>
              </a:solidFill>
            </a:ln>
            <a:effectLst/>
          </c:spPr>
          <c:invertIfNegative val="0"/>
          <c:cat>
            <c:strRef>
              <c:f>bar_plots!$B$2:$B$8</c:f>
              <c:strCache>
                <c:ptCount val="7"/>
                <c:pt idx="0">
                  <c:v>Heat of formation for ZnPt</c:v>
                </c:pt>
                <c:pt idx="1">
                  <c:v>Binding energy of a Zn atom to the Pt-(111) surface at top sites</c:v>
                </c:pt>
                <c:pt idx="2">
                  <c:v>Binding energy of a Zn atom to the Pt-(111) surface at bridge sites</c:v>
                </c:pt>
                <c:pt idx="3">
                  <c:v>Binding energy of a Zn atom to the Pt-(111) surface at hcp 1 sites</c:v>
                </c:pt>
                <c:pt idx="4">
                  <c:v>Binding energy of a Zn atom to the Pt-(111) surface at hcp 2 sites</c:v>
                </c:pt>
                <c:pt idx="5">
                  <c:v>Migration barrier between hcp sites</c:v>
                </c:pt>
                <c:pt idx="6">
                  <c:v>Heat of formation for ZnPtO</c:v>
                </c:pt>
              </c:strCache>
            </c:strRef>
          </c:cat>
          <c:val>
            <c:numRef>
              <c:f>bar_plots!$D$2:$D$8</c:f>
              <c:numCache>
                <c:formatCode>0.0</c:formatCode>
                <c:ptCount val="7"/>
                <c:pt idx="0">
                  <c:v>-26.05</c:v>
                </c:pt>
                <c:pt idx="1">
                  <c:v>-40.11</c:v>
                </c:pt>
                <c:pt idx="2">
                  <c:v>-51.34</c:v>
                </c:pt>
                <c:pt idx="3">
                  <c:v>-54.89</c:v>
                </c:pt>
                <c:pt idx="4">
                  <c:v>-54.69</c:v>
                </c:pt>
                <c:pt idx="5">
                  <c:v>-3.59</c:v>
                </c:pt>
                <c:pt idx="6">
                  <c:v>-42.55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D7-4762-B099-4AC64B98AD44}"/>
            </c:ext>
          </c:extLst>
        </c:ser>
        <c:ser>
          <c:idx val="1"/>
          <c:order val="1"/>
          <c:tx>
            <c:strRef>
              <c:f>bar_plots!$C$1</c:f>
              <c:strCache>
                <c:ptCount val="1"/>
                <c:pt idx="0">
                  <c:v>ReaxFF Data</c:v>
                </c:pt>
              </c:strCache>
            </c:strRef>
          </c:tx>
          <c:spPr>
            <a:solidFill>
              <a:srgbClr val="0057B8"/>
            </a:solidFill>
            <a:ln w="44450">
              <a:solidFill>
                <a:srgbClr val="0057B8"/>
              </a:solidFill>
            </a:ln>
            <a:effectLst/>
          </c:spPr>
          <c:invertIfNegative val="0"/>
          <c:cat>
            <c:strRef>
              <c:f>bar_plots!$B$2:$B$8</c:f>
              <c:strCache>
                <c:ptCount val="7"/>
                <c:pt idx="0">
                  <c:v>Heat of formation for ZnPt</c:v>
                </c:pt>
                <c:pt idx="1">
                  <c:v>Binding energy of a Zn atom to the Pt-(111) surface at top sites</c:v>
                </c:pt>
                <c:pt idx="2">
                  <c:v>Binding energy of a Zn atom to the Pt-(111) surface at bridge sites</c:v>
                </c:pt>
                <c:pt idx="3">
                  <c:v>Binding energy of a Zn atom to the Pt-(111) surface at hcp 1 sites</c:v>
                </c:pt>
                <c:pt idx="4">
                  <c:v>Binding energy of a Zn atom to the Pt-(111) surface at hcp 2 sites</c:v>
                </c:pt>
                <c:pt idx="5">
                  <c:v>Migration barrier between hcp sites</c:v>
                </c:pt>
                <c:pt idx="6">
                  <c:v>Heat of formation for ZnPtO</c:v>
                </c:pt>
              </c:strCache>
            </c:strRef>
          </c:cat>
          <c:val>
            <c:numRef>
              <c:f>bar_plots!$C$2:$C$8</c:f>
              <c:numCache>
                <c:formatCode>0.0</c:formatCode>
                <c:ptCount val="7"/>
                <c:pt idx="0">
                  <c:v>-23.22</c:v>
                </c:pt>
                <c:pt idx="1">
                  <c:v>-29.5</c:v>
                </c:pt>
                <c:pt idx="2">
                  <c:v>-51.56</c:v>
                </c:pt>
                <c:pt idx="3">
                  <c:v>-55</c:v>
                </c:pt>
                <c:pt idx="4">
                  <c:v>-54.99</c:v>
                </c:pt>
                <c:pt idx="5">
                  <c:v>-3.43</c:v>
                </c:pt>
                <c:pt idx="6">
                  <c:v>-35.28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D7-4762-B099-4AC64B98AD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17"/>
        <c:axId val="1069146560"/>
        <c:axId val="1071235872"/>
      </c:barChart>
      <c:catAx>
        <c:axId val="1069146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1235872"/>
        <c:crosses val="autoZero"/>
        <c:auto val="1"/>
        <c:lblAlgn val="ctr"/>
        <c:lblOffset val="100"/>
        <c:noMultiLvlLbl val="0"/>
      </c:catAx>
      <c:valAx>
        <c:axId val="10712358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>
                    <a:solidFill>
                      <a:schemeClr val="tx1"/>
                    </a:solidFill>
                  </a:rPr>
                  <a:t>Energy [kcal/mol]</a:t>
                </a:r>
              </a:p>
            </c:rich>
          </c:tx>
          <c:layout>
            <c:manualLayout>
              <c:xMode val="edge"/>
              <c:yMode val="edge"/>
              <c:x val="2.4944303602980718E-2"/>
              <c:y val="0.21034564666337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9146560"/>
        <c:crosses val="autoZero"/>
        <c:crossBetween val="between"/>
      </c:valAx>
      <c:spPr>
        <a:noFill/>
        <a:ln w="28575"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311466612085147"/>
          <c:y val="0.51666744890169425"/>
          <c:w val="0.23401597674294766"/>
          <c:h val="0.1248152089477470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753478672472354"/>
          <c:y val="3.0569683884271583E-2"/>
          <c:w val="0.85827538110591195"/>
          <c:h val="0.59373829790459842"/>
        </c:manualLayout>
      </c:layout>
      <c:lineChart>
        <c:grouping val="standard"/>
        <c:varyColors val="0"/>
        <c:ser>
          <c:idx val="0"/>
          <c:order val="0"/>
          <c:tx>
            <c:strRef>
              <c:f>line_plots!$D$1</c:f>
              <c:strCache>
                <c:ptCount val="1"/>
                <c:pt idx="0">
                  <c:v>QM (Literature) Data</c:v>
                </c:pt>
              </c:strCache>
            </c:strRef>
          </c:tx>
          <c:spPr>
            <a:ln w="53975" cap="rnd">
              <a:solidFill>
                <a:srgbClr val="D62728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D62728"/>
              </a:solidFill>
              <a:ln w="12700">
                <a:noFill/>
              </a:ln>
              <a:effectLst/>
            </c:spPr>
          </c:marker>
          <c:cat>
            <c:strRef>
              <c:f>line_plots!$B$2:$B$21</c:f>
              <c:strCache>
                <c:ptCount val="19"/>
                <c:pt idx="0">
                  <c:v>Bare AlN surface</c:v>
                </c:pt>
                <c:pt idx="2">
                  <c:v>Molecular H₂O adsorption</c:v>
                </c:pt>
                <c:pt idx="4">
                  <c:v>Single dissociated water</c:v>
                </c:pt>
                <c:pt idx="6">
                  <c:v>Two dissociated waters (2NH)*</c:v>
                </c:pt>
                <c:pt idx="8">
                  <c:v>TS1: Proton relay step 1</c:v>
                </c:pt>
                <c:pt idx="10">
                  <c:v>Intermediate 2NH*</c:v>
                </c:pt>
                <c:pt idx="12">
                  <c:v>TS2: Proton relay step 2</c:v>
                </c:pt>
                <c:pt idx="14">
                  <c:v>NH₂ intermediate*</c:v>
                </c:pt>
                <c:pt idx="16">
                  <c:v>NH₃ adsorbed + O-filled vacancy*</c:v>
                </c:pt>
                <c:pt idx="18">
                  <c:v>Desorbed NH₃</c:v>
                </c:pt>
              </c:strCache>
            </c:strRef>
          </c:cat>
          <c:val>
            <c:numRef>
              <c:f>line_plots!$D$2:$D$21</c:f>
              <c:numCache>
                <c:formatCode>0.0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-38.718929232000001</c:v>
                </c:pt>
                <c:pt idx="3">
                  <c:v>-38.700000000000003</c:v>
                </c:pt>
                <c:pt idx="4">
                  <c:v>-46.128107047999997</c:v>
                </c:pt>
                <c:pt idx="5">
                  <c:v>-46.1</c:v>
                </c:pt>
                <c:pt idx="6">
                  <c:v>-110.420650032</c:v>
                </c:pt>
                <c:pt idx="7">
                  <c:v>-110.4</c:v>
                </c:pt>
                <c:pt idx="8">
                  <c:v>-89.149139527999992</c:v>
                </c:pt>
                <c:pt idx="9">
                  <c:v>-89.1</c:v>
                </c:pt>
                <c:pt idx="10">
                  <c:v>-97.753346023999995</c:v>
                </c:pt>
                <c:pt idx="11">
                  <c:v>-97.8</c:v>
                </c:pt>
                <c:pt idx="12">
                  <c:v>-63.336520040000003</c:v>
                </c:pt>
                <c:pt idx="13">
                  <c:v>-63.3</c:v>
                </c:pt>
                <c:pt idx="14">
                  <c:v>-78.393881407999999</c:v>
                </c:pt>
                <c:pt idx="15">
                  <c:v>-78.400000000000006</c:v>
                </c:pt>
                <c:pt idx="16">
                  <c:v>-106.835563992</c:v>
                </c:pt>
                <c:pt idx="17">
                  <c:v>-106.8</c:v>
                </c:pt>
                <c:pt idx="18">
                  <c:v>-63.097514304000001</c:v>
                </c:pt>
                <c:pt idx="19">
                  <c:v>-63.1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4B-41FA-B0F5-CBB98234C0A6}"/>
            </c:ext>
          </c:extLst>
        </c:ser>
        <c:ser>
          <c:idx val="1"/>
          <c:order val="1"/>
          <c:tx>
            <c:strRef>
              <c:f>line_plots!$C$1</c:f>
              <c:strCache>
                <c:ptCount val="1"/>
                <c:pt idx="0">
                  <c:v>ReaxFF Data</c:v>
                </c:pt>
              </c:strCache>
            </c:strRef>
          </c:tx>
          <c:spPr>
            <a:ln w="53975" cap="rnd">
              <a:solidFill>
                <a:srgbClr val="0057B8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0057B8"/>
              </a:solidFill>
              <a:ln w="9525">
                <a:noFill/>
              </a:ln>
              <a:effectLst/>
            </c:spPr>
          </c:marker>
          <c:cat>
            <c:strRef>
              <c:f>line_plots!$B$2:$B$21</c:f>
              <c:strCache>
                <c:ptCount val="19"/>
                <c:pt idx="0">
                  <c:v>Bare AlN surface</c:v>
                </c:pt>
                <c:pt idx="2">
                  <c:v>Molecular H₂O adsorption</c:v>
                </c:pt>
                <c:pt idx="4">
                  <c:v>Single dissociated water</c:v>
                </c:pt>
                <c:pt idx="6">
                  <c:v>Two dissociated waters (2NH)*</c:v>
                </c:pt>
                <c:pt idx="8">
                  <c:v>TS1: Proton relay step 1</c:v>
                </c:pt>
                <c:pt idx="10">
                  <c:v>Intermediate 2NH*</c:v>
                </c:pt>
                <c:pt idx="12">
                  <c:v>TS2: Proton relay step 2</c:v>
                </c:pt>
                <c:pt idx="14">
                  <c:v>NH₂ intermediate*</c:v>
                </c:pt>
                <c:pt idx="16">
                  <c:v>NH₃ adsorbed + O-filled vacancy*</c:v>
                </c:pt>
                <c:pt idx="18">
                  <c:v>Desorbed NH₃</c:v>
                </c:pt>
              </c:strCache>
            </c:strRef>
          </c:cat>
          <c:val>
            <c:numRef>
              <c:f>line_plots!$C$2:$C$21</c:f>
              <c:numCache>
                <c:formatCode>0.0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-27.99</c:v>
                </c:pt>
                <c:pt idx="3">
                  <c:v>-27.99</c:v>
                </c:pt>
                <c:pt idx="4">
                  <c:v>-43.97</c:v>
                </c:pt>
                <c:pt idx="5">
                  <c:v>-43.97</c:v>
                </c:pt>
                <c:pt idx="6">
                  <c:v>-83.16</c:v>
                </c:pt>
                <c:pt idx="7">
                  <c:v>-83.16</c:v>
                </c:pt>
                <c:pt idx="8">
                  <c:v>-65.569999999999993</c:v>
                </c:pt>
                <c:pt idx="9">
                  <c:v>-65.569999999999993</c:v>
                </c:pt>
                <c:pt idx="10">
                  <c:v>-81.259999999999991</c:v>
                </c:pt>
                <c:pt idx="11">
                  <c:v>-81.260000000000005</c:v>
                </c:pt>
                <c:pt idx="12">
                  <c:v>-43.419999999999987</c:v>
                </c:pt>
                <c:pt idx="13">
                  <c:v>-43.42</c:v>
                </c:pt>
                <c:pt idx="14">
                  <c:v>-68.399999999999991</c:v>
                </c:pt>
                <c:pt idx="15">
                  <c:v>-68.400000000000006</c:v>
                </c:pt>
                <c:pt idx="16">
                  <c:v>-91.669999999999987</c:v>
                </c:pt>
                <c:pt idx="17">
                  <c:v>-91.67</c:v>
                </c:pt>
                <c:pt idx="18">
                  <c:v>-44.529999999999987</c:v>
                </c:pt>
                <c:pt idx="19">
                  <c:v>-44.53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A4-4899-8107-188FFEB1C4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9146560"/>
        <c:axId val="1071235872"/>
      </c:lineChart>
      <c:catAx>
        <c:axId val="1069146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1235872"/>
        <c:crosses val="autoZero"/>
        <c:auto val="1"/>
        <c:lblAlgn val="ctr"/>
        <c:lblOffset val="100"/>
        <c:noMultiLvlLbl val="0"/>
      </c:catAx>
      <c:valAx>
        <c:axId val="10712358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>
                    <a:solidFill>
                      <a:schemeClr val="tx1"/>
                    </a:solidFill>
                  </a:rPr>
                  <a:t>Energy [kcal/mol]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9146560"/>
        <c:crosses val="autoZero"/>
        <c:crossBetween val="between"/>
      </c:valAx>
      <c:spPr>
        <a:noFill/>
        <a:ln w="28575"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66840418708690186"/>
          <c:y val="4.5799295821370004E-2"/>
          <c:w val="0.31404469000020929"/>
          <c:h val="0.105634174384498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100" b="1">
                <a:solidFill>
                  <a:schemeClr val="tx1"/>
                </a:solidFill>
              </a:rPr>
              <a:t>EOS for Bulk Items</a:t>
            </a:r>
          </a:p>
        </c:rich>
      </c:tx>
      <c:layout>
        <c:manualLayout>
          <c:xMode val="edge"/>
          <c:yMode val="edge"/>
          <c:x val="0.43370101258352728"/>
          <c:y val="6.22311804635793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1388398027668029"/>
          <c:y val="0.14141006823460597"/>
          <c:w val="0.74286635035704163"/>
          <c:h val="0.705658375138216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EOS_plots!$C$1</c:f>
              <c:strCache>
                <c:ptCount val="1"/>
                <c:pt idx="0">
                  <c:v>ReaxFF Data</c:v>
                </c:pt>
              </c:strCache>
            </c:strRef>
          </c:tx>
          <c:spPr>
            <a:ln w="38100" cap="rnd">
              <a:solidFill>
                <a:srgbClr val="0057B8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0057B8"/>
              </a:solidFill>
              <a:ln w="9525">
                <a:solidFill>
                  <a:srgbClr val="0057B8"/>
                </a:solidFill>
              </a:ln>
              <a:effectLst/>
            </c:spPr>
          </c:marker>
          <c:xVal>
            <c:numRef>
              <c:f>EOS_plots!$B$2:$B$12</c:f>
              <c:numCache>
                <c:formatCode>0.0</c:formatCode>
                <c:ptCount val="11"/>
                <c:pt idx="0">
                  <c:v>26.731000000000002</c:v>
                </c:pt>
                <c:pt idx="1">
                  <c:v>27.06</c:v>
                </c:pt>
                <c:pt idx="2">
                  <c:v>27.390999999999998</c:v>
                </c:pt>
                <c:pt idx="3">
                  <c:v>27.725000000000001</c:v>
                </c:pt>
                <c:pt idx="4">
                  <c:v>28.062000000000001</c:v>
                </c:pt>
                <c:pt idx="5">
                  <c:v>28.402000000000001</c:v>
                </c:pt>
                <c:pt idx="6">
                  <c:v>28.744</c:v>
                </c:pt>
                <c:pt idx="7">
                  <c:v>29.088999999999999</c:v>
                </c:pt>
                <c:pt idx="8">
                  <c:v>29.436</c:v>
                </c:pt>
                <c:pt idx="9">
                  <c:v>29.786999999999999</c:v>
                </c:pt>
                <c:pt idx="10">
                  <c:v>30.14</c:v>
                </c:pt>
              </c:numCache>
            </c:numRef>
          </c:xVal>
          <c:yVal>
            <c:numRef>
              <c:f>EOS_plots!$C$2:$C$12</c:f>
              <c:numCache>
                <c:formatCode>0.00</c:formatCode>
                <c:ptCount val="11"/>
                <c:pt idx="0">
                  <c:v>1.6673</c:v>
                </c:pt>
                <c:pt idx="1">
                  <c:v>1.0705</c:v>
                </c:pt>
                <c:pt idx="2">
                  <c:v>0.6089</c:v>
                </c:pt>
                <c:pt idx="3">
                  <c:v>0.27879999999999999</c:v>
                </c:pt>
                <c:pt idx="4">
                  <c:v>7.6799999999999993E-2</c:v>
                </c:pt>
                <c:pt idx="5">
                  <c:v>0</c:v>
                </c:pt>
                <c:pt idx="6">
                  <c:v>4.5100000000000001E-2</c:v>
                </c:pt>
                <c:pt idx="7">
                  <c:v>0.20930000000000001</c:v>
                </c:pt>
                <c:pt idx="8">
                  <c:v>0.4889</c:v>
                </c:pt>
                <c:pt idx="9">
                  <c:v>0.88119999999999998</c:v>
                </c:pt>
                <c:pt idx="10">
                  <c:v>1.3833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8CF-4A0B-86AF-0932412BB741}"/>
            </c:ext>
          </c:extLst>
        </c:ser>
        <c:ser>
          <c:idx val="1"/>
          <c:order val="1"/>
          <c:tx>
            <c:strRef>
              <c:f>EOS_plots!$D$1</c:f>
              <c:strCache>
                <c:ptCount val="1"/>
                <c:pt idx="0">
                  <c:v>QM (Literature) Data</c:v>
                </c:pt>
              </c:strCache>
            </c:strRef>
          </c:tx>
          <c:spPr>
            <a:ln w="38100" cap="rnd">
              <a:solidFill>
                <a:srgbClr val="D62728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D62728"/>
              </a:solidFill>
              <a:ln w="9525">
                <a:solidFill>
                  <a:srgbClr val="D62728"/>
                </a:solidFill>
              </a:ln>
              <a:effectLst/>
            </c:spPr>
          </c:marker>
          <c:xVal>
            <c:numRef>
              <c:f>EOS_plots!$B$2:$B$12</c:f>
              <c:numCache>
                <c:formatCode>0.0</c:formatCode>
                <c:ptCount val="11"/>
                <c:pt idx="0">
                  <c:v>26.731000000000002</c:v>
                </c:pt>
                <c:pt idx="1">
                  <c:v>27.06</c:v>
                </c:pt>
                <c:pt idx="2">
                  <c:v>27.390999999999998</c:v>
                </c:pt>
                <c:pt idx="3">
                  <c:v>27.725000000000001</c:v>
                </c:pt>
                <c:pt idx="4">
                  <c:v>28.062000000000001</c:v>
                </c:pt>
                <c:pt idx="5">
                  <c:v>28.402000000000001</c:v>
                </c:pt>
                <c:pt idx="6">
                  <c:v>28.744</c:v>
                </c:pt>
                <c:pt idx="7">
                  <c:v>29.088999999999999</c:v>
                </c:pt>
                <c:pt idx="8">
                  <c:v>29.436</c:v>
                </c:pt>
                <c:pt idx="9">
                  <c:v>29.786999999999999</c:v>
                </c:pt>
                <c:pt idx="10">
                  <c:v>30.14</c:v>
                </c:pt>
              </c:numCache>
            </c:numRef>
          </c:xVal>
          <c:yVal>
            <c:numRef>
              <c:f>EOS_plots!$D$2:$D$12</c:f>
              <c:numCache>
                <c:formatCode>0.00</c:formatCode>
                <c:ptCount val="11"/>
                <c:pt idx="0">
                  <c:v>1.2904</c:v>
                </c:pt>
                <c:pt idx="1">
                  <c:v>0.82489999999999997</c:v>
                </c:pt>
                <c:pt idx="2">
                  <c:v>0.46329999999999999</c:v>
                </c:pt>
                <c:pt idx="3">
                  <c:v>0.2056</c:v>
                </c:pt>
                <c:pt idx="4">
                  <c:v>5.1299999999999998E-2</c:v>
                </c:pt>
                <c:pt idx="5">
                  <c:v>1E-4</c:v>
                </c:pt>
                <c:pt idx="6">
                  <c:v>5.11E-2</c:v>
                </c:pt>
                <c:pt idx="7">
                  <c:v>0.20399999999999999</c:v>
                </c:pt>
                <c:pt idx="8">
                  <c:v>0.45779999999999998</c:v>
                </c:pt>
                <c:pt idx="9">
                  <c:v>0.81189999999999996</c:v>
                </c:pt>
                <c:pt idx="10">
                  <c:v>1.2652000000000001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8CF-4A0B-86AF-0932412BB7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2033840"/>
        <c:axId val="1842034320"/>
      </c:scatterChart>
      <c:valAx>
        <c:axId val="1842033840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Volume (Å</a:t>
                </a:r>
                <a:r>
                  <a:rPr lang="en-US" sz="1100" b="1" baseline="300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3</a:t>
                </a: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0.44814009198297522"/>
              <c:y val="0.9394093807773260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" sourceLinked="1"/>
        <c:majorTickMark val="in"/>
        <c:minorTickMark val="none"/>
        <c:tickLblPos val="low"/>
        <c:spPr>
          <a:noFill/>
          <a:ln w="19050" cap="flat" cmpd="sng" algn="ctr">
            <a:solidFill>
              <a:schemeClr val="tx1"/>
            </a:solidFill>
            <a:prstDash val="dash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42034320"/>
        <c:crosses val="autoZero"/>
        <c:crossBetween val="midCat"/>
      </c:valAx>
      <c:valAx>
        <c:axId val="1842034320"/>
        <c:scaling>
          <c:orientation val="minMax"/>
          <c:min val="-0.4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Energy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Difference (kcal/mol)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5.5486641595064161E-2"/>
              <c:y val="0.1582777964139663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0" sourceLinked="1"/>
        <c:majorTickMark val="in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42033840"/>
        <c:crosses val="autoZero"/>
        <c:crossBetween val="midCat"/>
        <c:majorUnit val="0.4"/>
      </c:valAx>
      <c:spPr>
        <a:noFill/>
        <a:ln w="1905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50412632642362476"/>
          <c:y val="0.16662232023063495"/>
          <c:w val="0.40535132641800231"/>
          <c:h val="0.1271146660776121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777719</xdr:colOff>
      <xdr:row>1</xdr:row>
      <xdr:rowOff>92887</xdr:rowOff>
    </xdr:from>
    <xdr:to>
      <xdr:col>18</xdr:col>
      <xdr:colOff>590604</xdr:colOff>
      <xdr:row>29</xdr:row>
      <xdr:rowOff>140608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290254-3693-4822-A3B1-AE07162204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</xdr:col>
      <xdr:colOff>2188882</xdr:colOff>
      <xdr:row>13</xdr:row>
      <xdr:rowOff>59765</xdr:rowOff>
    </xdr:from>
    <xdr:ext cx="3824380" cy="937629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CD454D9-6612-47F1-A922-652C92AF12AC}"/>
            </a:ext>
          </a:extLst>
        </xdr:cNvPr>
        <xdr:cNvSpPr/>
      </xdr:nvSpPr>
      <xdr:spPr>
        <a:xfrm rot="19637703">
          <a:off x="6372411" y="2487706"/>
          <a:ext cx="3824380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4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Sample Data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1339280</xdr:colOff>
      <xdr:row>0</xdr:row>
      <xdr:rowOff>175734</xdr:rowOff>
    </xdr:from>
    <xdr:to>
      <xdr:col>18</xdr:col>
      <xdr:colOff>115456</xdr:colOff>
      <xdr:row>32</xdr:row>
      <xdr:rowOff>115454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0369B1-F670-FC74-9E5D-60A2BCDA43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</xdr:col>
      <xdr:colOff>1206501</xdr:colOff>
      <xdr:row>19</xdr:row>
      <xdr:rowOff>72572</xdr:rowOff>
    </xdr:from>
    <xdr:ext cx="3824380" cy="937629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67084DB-0DAE-4E28-9174-689DE50CC63E}"/>
            </a:ext>
          </a:extLst>
        </xdr:cNvPr>
        <xdr:cNvSpPr/>
      </xdr:nvSpPr>
      <xdr:spPr>
        <a:xfrm rot="19637703">
          <a:off x="6676572" y="3519715"/>
          <a:ext cx="3824380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4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Sample Data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400587</xdr:colOff>
      <xdr:row>0</xdr:row>
      <xdr:rowOff>151139</xdr:rowOff>
    </xdr:from>
    <xdr:to>
      <xdr:col>12</xdr:col>
      <xdr:colOff>359701</xdr:colOff>
      <xdr:row>17</xdr:row>
      <xdr:rowOff>179071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FDF77C-2597-4E1E-A617-05B2B17D71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</xdr:col>
      <xdr:colOff>553107</xdr:colOff>
      <xdr:row>9</xdr:row>
      <xdr:rowOff>147513</xdr:rowOff>
    </xdr:from>
    <xdr:ext cx="3824380" cy="937629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DAAC4F2-4C51-03F0-AFD0-4BF125A569C1}"/>
            </a:ext>
          </a:extLst>
        </xdr:cNvPr>
        <xdr:cNvSpPr/>
      </xdr:nvSpPr>
      <xdr:spPr>
        <a:xfrm rot="19637703">
          <a:off x="2943695" y="1828395"/>
          <a:ext cx="3824380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4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Sample Data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426F8-0FA6-4FA8-9AD1-9F5E6CC06044}">
  <dimension ref="A1:E6"/>
  <sheetViews>
    <sheetView zoomScale="115" zoomScaleNormal="115" workbookViewId="0">
      <selection activeCell="G12" sqref="G12"/>
    </sheetView>
  </sheetViews>
  <sheetFormatPr defaultRowHeight="14.5" x14ac:dyDescent="0.35"/>
  <cols>
    <col min="1" max="1" width="13.54296875" customWidth="1"/>
    <col min="4" max="4" width="11.453125" customWidth="1"/>
    <col min="5" max="5" width="14.81640625" customWidth="1"/>
  </cols>
  <sheetData>
    <row r="1" spans="1:5" x14ac:dyDescent="0.35">
      <c r="A1" s="15" t="s">
        <v>45</v>
      </c>
      <c r="B1" s="15"/>
      <c r="C1" s="15"/>
      <c r="D1" s="15"/>
      <c r="E1" s="15"/>
    </row>
    <row r="3" spans="1:5" x14ac:dyDescent="0.35">
      <c r="C3" s="23" t="s">
        <v>52</v>
      </c>
      <c r="D3" s="23"/>
      <c r="E3" s="23"/>
    </row>
    <row r="4" spans="1:5" x14ac:dyDescent="0.35">
      <c r="A4" s="22" t="s">
        <v>54</v>
      </c>
      <c r="B4" s="22" t="s">
        <v>53</v>
      </c>
      <c r="C4" s="22" t="s">
        <v>46</v>
      </c>
      <c r="D4" s="22" t="s">
        <v>47</v>
      </c>
      <c r="E4" s="22" t="s">
        <v>48</v>
      </c>
    </row>
    <row r="5" spans="1:5" x14ac:dyDescent="0.35">
      <c r="A5" s="21" t="s">
        <v>39</v>
      </c>
      <c r="B5" s="21" t="s">
        <v>40</v>
      </c>
      <c r="C5" s="21" t="s">
        <v>49</v>
      </c>
      <c r="D5" s="21" t="s">
        <v>51</v>
      </c>
      <c r="E5" s="21" t="s">
        <v>41</v>
      </c>
    </row>
    <row r="6" spans="1:5" x14ac:dyDescent="0.35">
      <c r="A6" s="21" t="s">
        <v>42</v>
      </c>
      <c r="B6" s="21" t="s">
        <v>43</v>
      </c>
      <c r="C6" s="21" t="s">
        <v>50</v>
      </c>
      <c r="D6" s="21" t="s">
        <v>44</v>
      </c>
      <c r="E6" s="21" t="s">
        <v>44</v>
      </c>
    </row>
  </sheetData>
  <mergeCells count="1">
    <mergeCell ref="C3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05E76-0665-4020-9140-6B187602A5F5}">
  <dimension ref="A1:D8"/>
  <sheetViews>
    <sheetView topLeftCell="D1" zoomScale="70" zoomScaleNormal="70" workbookViewId="0">
      <selection activeCell="C1" sqref="C1:D1"/>
    </sheetView>
  </sheetViews>
  <sheetFormatPr defaultColWidth="9" defaultRowHeight="14.5" x14ac:dyDescent="0.35"/>
  <cols>
    <col min="1" max="1" width="59.90625" style="2" customWidth="1"/>
    <col min="2" max="2" width="56.90625" style="2" customWidth="1"/>
    <col min="3" max="3" width="18.7265625" style="2" customWidth="1"/>
    <col min="4" max="4" width="19.81640625" style="2" customWidth="1"/>
    <col min="5" max="5" width="24.36328125" style="2" customWidth="1"/>
    <col min="6" max="16384" width="9" style="2"/>
  </cols>
  <sheetData>
    <row r="1" spans="1:4" x14ac:dyDescent="0.35">
      <c r="A1" s="1" t="s">
        <v>35</v>
      </c>
      <c r="B1" s="1" t="s">
        <v>36</v>
      </c>
      <c r="C1" s="1" t="s">
        <v>55</v>
      </c>
      <c r="D1" s="1" t="s">
        <v>56</v>
      </c>
    </row>
    <row r="2" spans="1:4" x14ac:dyDescent="0.35">
      <c r="A2" s="3" t="s">
        <v>10</v>
      </c>
      <c r="B2" s="4" t="s">
        <v>21</v>
      </c>
      <c r="C2" s="19">
        <v>-23.22</v>
      </c>
      <c r="D2" s="5">
        <v>-26.05</v>
      </c>
    </row>
    <row r="3" spans="1:4" x14ac:dyDescent="0.35">
      <c r="A3" s="3" t="s">
        <v>11</v>
      </c>
      <c r="B3" s="4" t="s">
        <v>16</v>
      </c>
      <c r="C3" s="19">
        <v>-29.5</v>
      </c>
      <c r="D3" s="5">
        <v>-40.11</v>
      </c>
    </row>
    <row r="4" spans="1:4" x14ac:dyDescent="0.35">
      <c r="A4" s="3" t="s">
        <v>12</v>
      </c>
      <c r="B4" s="4" t="s">
        <v>17</v>
      </c>
      <c r="C4" s="19">
        <v>-51.56</v>
      </c>
      <c r="D4" s="5">
        <v>-51.34</v>
      </c>
    </row>
    <row r="5" spans="1:4" x14ac:dyDescent="0.35">
      <c r="A5" s="3" t="s">
        <v>13</v>
      </c>
      <c r="B5" s="4" t="s">
        <v>18</v>
      </c>
      <c r="C5" s="19">
        <v>-55</v>
      </c>
      <c r="D5" s="5">
        <v>-54.89</v>
      </c>
    </row>
    <row r="6" spans="1:4" x14ac:dyDescent="0.35">
      <c r="A6" s="3" t="s">
        <v>14</v>
      </c>
      <c r="B6" s="4" t="s">
        <v>19</v>
      </c>
      <c r="C6" s="19">
        <v>-54.99</v>
      </c>
      <c r="D6" s="5">
        <v>-54.69</v>
      </c>
    </row>
    <row r="7" spans="1:4" x14ac:dyDescent="0.35">
      <c r="A7" s="3" t="s">
        <v>15</v>
      </c>
      <c r="B7" s="4" t="s">
        <v>20</v>
      </c>
      <c r="C7" s="19">
        <v>-3.43</v>
      </c>
      <c r="D7" s="5">
        <v>-3.59</v>
      </c>
    </row>
    <row r="8" spans="1:4" x14ac:dyDescent="0.35">
      <c r="A8" s="3" t="s">
        <v>22</v>
      </c>
      <c r="B8" s="6" t="s">
        <v>23</v>
      </c>
      <c r="C8" s="19">
        <v>-35.28</v>
      </c>
      <c r="D8" s="5">
        <v>-42.55</v>
      </c>
    </row>
  </sheetData>
  <pageMargins left="0.75" right="0.75" top="1" bottom="1" header="0.5" footer="0.5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topLeftCell="E1" zoomScale="70" zoomScaleNormal="70" workbookViewId="0">
      <selection activeCell="X19" sqref="X19"/>
    </sheetView>
  </sheetViews>
  <sheetFormatPr defaultColWidth="9" defaultRowHeight="14.5" x14ac:dyDescent="0.35"/>
  <cols>
    <col min="1" max="1" width="49.26953125" style="8" customWidth="1"/>
    <col min="2" max="3" width="29.08984375" style="8" customWidth="1"/>
    <col min="4" max="4" width="20.6328125" style="8" customWidth="1"/>
    <col min="5" max="5" width="24.36328125" style="8" customWidth="1"/>
    <col min="6" max="16384" width="9" style="8"/>
  </cols>
  <sheetData>
    <row r="1" spans="1:4" x14ac:dyDescent="0.35">
      <c r="A1" s="7" t="s">
        <v>35</v>
      </c>
      <c r="B1" s="7" t="s">
        <v>36</v>
      </c>
      <c r="C1" s="1" t="s">
        <v>55</v>
      </c>
      <c r="D1" s="1" t="s">
        <v>56</v>
      </c>
    </row>
    <row r="2" spans="1:4" x14ac:dyDescent="0.35">
      <c r="A2" s="9"/>
      <c r="B2" s="9" t="s">
        <v>0</v>
      </c>
      <c r="C2" s="10">
        <v>0</v>
      </c>
      <c r="D2" s="10">
        <v>0</v>
      </c>
    </row>
    <row r="3" spans="1:4" x14ac:dyDescent="0.35">
      <c r="A3" s="9"/>
      <c r="B3" s="9"/>
      <c r="C3" s="10">
        <v>0</v>
      </c>
      <c r="D3" s="10">
        <v>0</v>
      </c>
    </row>
    <row r="4" spans="1:4" x14ac:dyDescent="0.35">
      <c r="A4" s="9"/>
      <c r="B4" s="9" t="s">
        <v>1</v>
      </c>
      <c r="C4" s="10">
        <v>-27.99</v>
      </c>
      <c r="D4" s="10">
        <v>-38.718929232000001</v>
      </c>
    </row>
    <row r="5" spans="1:4" x14ac:dyDescent="0.35">
      <c r="A5" s="9"/>
      <c r="B5" s="9"/>
      <c r="C5" s="10">
        <v>-27.99</v>
      </c>
      <c r="D5" s="10">
        <v>-38.700000000000003</v>
      </c>
    </row>
    <row r="6" spans="1:4" x14ac:dyDescent="0.35">
      <c r="A6" s="9"/>
      <c r="B6" s="9" t="s">
        <v>2</v>
      </c>
      <c r="C6" s="10">
        <v>-43.97</v>
      </c>
      <c r="D6" s="10">
        <v>-46.128107047999997</v>
      </c>
    </row>
    <row r="7" spans="1:4" x14ac:dyDescent="0.35">
      <c r="A7" s="9"/>
      <c r="B7" s="9"/>
      <c r="C7" s="10">
        <v>-43.97</v>
      </c>
      <c r="D7" s="10">
        <v>-46.1</v>
      </c>
    </row>
    <row r="8" spans="1:4" x14ac:dyDescent="0.35">
      <c r="A8" s="9"/>
      <c r="B8" s="12" t="s">
        <v>6</v>
      </c>
      <c r="C8" s="10">
        <f>C6-39.19</f>
        <v>-83.16</v>
      </c>
      <c r="D8" s="10">
        <v>-110.420650032</v>
      </c>
    </row>
    <row r="9" spans="1:4" x14ac:dyDescent="0.35">
      <c r="A9" s="9"/>
      <c r="B9" s="9"/>
      <c r="C9" s="10">
        <v>-83.16</v>
      </c>
      <c r="D9" s="10">
        <v>-110.4</v>
      </c>
    </row>
    <row r="10" spans="1:4" x14ac:dyDescent="0.35">
      <c r="A10" s="9"/>
      <c r="B10" s="9" t="s">
        <v>3</v>
      </c>
      <c r="C10" s="10">
        <f>C8+17.59</f>
        <v>-65.569999999999993</v>
      </c>
      <c r="D10" s="10">
        <v>-89.149139527999992</v>
      </c>
    </row>
    <row r="11" spans="1:4" x14ac:dyDescent="0.35">
      <c r="A11" s="9"/>
      <c r="B11" s="9"/>
      <c r="C11" s="10">
        <v>-65.569999999999993</v>
      </c>
      <c r="D11" s="10">
        <v>-89.1</v>
      </c>
    </row>
    <row r="12" spans="1:4" x14ac:dyDescent="0.35">
      <c r="A12" s="9"/>
      <c r="B12" s="9" t="s">
        <v>9</v>
      </c>
      <c r="C12" s="10">
        <f>C8+1.9</f>
        <v>-81.259999999999991</v>
      </c>
      <c r="D12" s="10">
        <v>-97.753346023999995</v>
      </c>
    </row>
    <row r="13" spans="1:4" x14ac:dyDescent="0.35">
      <c r="A13" s="9"/>
      <c r="B13" s="9"/>
      <c r="C13" s="10">
        <v>-81.260000000000005</v>
      </c>
      <c r="D13" s="10">
        <v>-97.8</v>
      </c>
    </row>
    <row r="14" spans="1:4" x14ac:dyDescent="0.35">
      <c r="A14" s="9"/>
      <c r="B14" s="9" t="s">
        <v>4</v>
      </c>
      <c r="C14" s="10">
        <f>C12+37.84</f>
        <v>-43.419999999999987</v>
      </c>
      <c r="D14" s="10">
        <v>-63.336520040000003</v>
      </c>
    </row>
    <row r="15" spans="1:4" x14ac:dyDescent="0.35">
      <c r="A15" s="9"/>
      <c r="B15" s="11"/>
      <c r="C15" s="10">
        <v>-43.42</v>
      </c>
      <c r="D15" s="10">
        <v>-63.3</v>
      </c>
    </row>
    <row r="16" spans="1:4" x14ac:dyDescent="0.35">
      <c r="A16" s="9"/>
      <c r="B16" s="12" t="s">
        <v>7</v>
      </c>
      <c r="C16" s="10">
        <f>C12+12.86</f>
        <v>-68.399999999999991</v>
      </c>
      <c r="D16" s="10">
        <v>-78.393881407999999</v>
      </c>
    </row>
    <row r="17" spans="1:4" x14ac:dyDescent="0.35">
      <c r="A17" s="9"/>
      <c r="B17" s="11"/>
      <c r="C17" s="10">
        <v>-68.400000000000006</v>
      </c>
      <c r="D17" s="10">
        <v>-78.400000000000006</v>
      </c>
    </row>
    <row r="18" spans="1:4" x14ac:dyDescent="0.35">
      <c r="A18" s="9"/>
      <c r="B18" s="12" t="s">
        <v>8</v>
      </c>
      <c r="C18" s="10">
        <f>C16-23.27</f>
        <v>-91.669999999999987</v>
      </c>
      <c r="D18" s="10">
        <v>-106.835563992</v>
      </c>
    </row>
    <row r="19" spans="1:4" x14ac:dyDescent="0.35">
      <c r="A19" s="9"/>
      <c r="B19" s="11"/>
      <c r="C19" s="10">
        <v>-91.67</v>
      </c>
      <c r="D19" s="10">
        <v>-106.8</v>
      </c>
    </row>
    <row r="20" spans="1:4" x14ac:dyDescent="0.35">
      <c r="A20" s="9"/>
      <c r="B20" s="9" t="s">
        <v>5</v>
      </c>
      <c r="C20" s="10">
        <f>C18+47.14</f>
        <v>-44.529999999999987</v>
      </c>
      <c r="D20" s="10">
        <v>-63.097514304000001</v>
      </c>
    </row>
    <row r="21" spans="1:4" x14ac:dyDescent="0.35">
      <c r="A21" s="9"/>
      <c r="B21" s="11"/>
      <c r="C21" s="10">
        <v>-44.53</v>
      </c>
      <c r="D21" s="10">
        <v>-63.1</v>
      </c>
    </row>
  </sheetData>
  <pageMargins left="0.75" right="0.75" top="1" bottom="1" header="0.5" footer="0.5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BADC3-9DAC-49B0-B9EA-976978B6A338}">
  <dimension ref="A1:G30"/>
  <sheetViews>
    <sheetView tabSelected="1" zoomScale="85" zoomScaleNormal="85" workbookViewId="0">
      <selection activeCell="U10" sqref="U10"/>
    </sheetView>
  </sheetViews>
  <sheetFormatPr defaultColWidth="8.90625" defaultRowHeight="14.5" x14ac:dyDescent="0.35"/>
  <cols>
    <col min="1" max="1" width="19.90625" style="8" bestFit="1" customWidth="1"/>
    <col min="2" max="2" width="14.36328125" style="8" bestFit="1" customWidth="1"/>
    <col min="3" max="3" width="22.7265625" style="8" customWidth="1"/>
    <col min="4" max="4" width="21.54296875" style="8" customWidth="1"/>
    <col min="5" max="16384" width="8.90625" style="8"/>
  </cols>
  <sheetData>
    <row r="1" spans="1:7" x14ac:dyDescent="0.35">
      <c r="A1" s="16" t="s">
        <v>37</v>
      </c>
      <c r="B1" s="16" t="s">
        <v>38</v>
      </c>
      <c r="C1" s="1" t="s">
        <v>55</v>
      </c>
      <c r="D1" s="1" t="s">
        <v>56</v>
      </c>
      <c r="G1" s="13"/>
    </row>
    <row r="2" spans="1:7" x14ac:dyDescent="0.35">
      <c r="A2" s="17" t="s">
        <v>24</v>
      </c>
      <c r="B2" s="20">
        <v>26.731000000000002</v>
      </c>
      <c r="C2" s="18">
        <v>1.6673</v>
      </c>
      <c r="D2" s="18">
        <v>1.2904</v>
      </c>
      <c r="E2" s="14"/>
    </row>
    <row r="3" spans="1:7" x14ac:dyDescent="0.35">
      <c r="A3" s="17" t="s">
        <v>25</v>
      </c>
      <c r="B3" s="20">
        <v>27.06</v>
      </c>
      <c r="C3" s="18">
        <v>1.0705</v>
      </c>
      <c r="D3" s="18">
        <v>0.82489999999999997</v>
      </c>
      <c r="E3" s="14"/>
    </row>
    <row r="4" spans="1:7" x14ac:dyDescent="0.35">
      <c r="A4" s="17" t="s">
        <v>26</v>
      </c>
      <c r="B4" s="20">
        <v>27.390999999999998</v>
      </c>
      <c r="C4" s="18">
        <v>0.6089</v>
      </c>
      <c r="D4" s="18">
        <v>0.46329999999999999</v>
      </c>
      <c r="E4" s="14"/>
    </row>
    <row r="5" spans="1:7" x14ac:dyDescent="0.35">
      <c r="A5" s="17" t="s">
        <v>27</v>
      </c>
      <c r="B5" s="20">
        <v>27.725000000000001</v>
      </c>
      <c r="C5" s="18">
        <v>0.27879999999999999</v>
      </c>
      <c r="D5" s="18">
        <v>0.2056</v>
      </c>
      <c r="E5" s="14"/>
    </row>
    <row r="6" spans="1:7" x14ac:dyDescent="0.35">
      <c r="A6" s="17" t="s">
        <v>28</v>
      </c>
      <c r="B6" s="20">
        <v>28.062000000000001</v>
      </c>
      <c r="C6" s="18">
        <v>7.6799999999999993E-2</v>
      </c>
      <c r="D6" s="18">
        <v>5.1299999999999998E-2</v>
      </c>
      <c r="E6" s="14"/>
    </row>
    <row r="7" spans="1:7" x14ac:dyDescent="0.35">
      <c r="A7" s="17" t="s">
        <v>29</v>
      </c>
      <c r="B7" s="20">
        <v>28.402000000000001</v>
      </c>
      <c r="C7" s="18">
        <v>0</v>
      </c>
      <c r="D7" s="18">
        <v>1E-4</v>
      </c>
      <c r="E7" s="14"/>
    </row>
    <row r="8" spans="1:7" x14ac:dyDescent="0.35">
      <c r="A8" s="17" t="s">
        <v>30</v>
      </c>
      <c r="B8" s="20">
        <v>28.744</v>
      </c>
      <c r="C8" s="18">
        <v>4.5100000000000001E-2</v>
      </c>
      <c r="D8" s="18">
        <v>5.11E-2</v>
      </c>
      <c r="E8" s="14"/>
    </row>
    <row r="9" spans="1:7" x14ac:dyDescent="0.35">
      <c r="A9" s="17" t="s">
        <v>31</v>
      </c>
      <c r="B9" s="20">
        <v>29.088999999999999</v>
      </c>
      <c r="C9" s="18">
        <v>0.20930000000000001</v>
      </c>
      <c r="D9" s="18">
        <v>0.20399999999999999</v>
      </c>
      <c r="E9" s="14"/>
    </row>
    <row r="10" spans="1:7" x14ac:dyDescent="0.35">
      <c r="A10" s="17" t="s">
        <v>32</v>
      </c>
      <c r="B10" s="20">
        <v>29.436</v>
      </c>
      <c r="C10" s="18">
        <v>0.4889</v>
      </c>
      <c r="D10" s="18">
        <v>0.45779999999999998</v>
      </c>
      <c r="E10" s="14"/>
    </row>
    <row r="11" spans="1:7" x14ac:dyDescent="0.35">
      <c r="A11" s="17" t="s">
        <v>33</v>
      </c>
      <c r="B11" s="20">
        <v>29.786999999999999</v>
      </c>
      <c r="C11" s="18">
        <v>0.88119999999999998</v>
      </c>
      <c r="D11" s="18">
        <v>0.81189999999999996</v>
      </c>
      <c r="E11" s="14"/>
    </row>
    <row r="12" spans="1:7" x14ac:dyDescent="0.35">
      <c r="A12" s="17" t="s">
        <v>34</v>
      </c>
      <c r="B12" s="20">
        <v>30.14</v>
      </c>
      <c r="C12" s="18">
        <v>1.3833</v>
      </c>
      <c r="D12" s="18">
        <v>1.2652000000000001</v>
      </c>
      <c r="E12" s="14"/>
    </row>
    <row r="13" spans="1:7" x14ac:dyDescent="0.35">
      <c r="E13" s="14"/>
    </row>
    <row r="14" spans="1:7" x14ac:dyDescent="0.35">
      <c r="E14" s="14"/>
    </row>
    <row r="15" spans="1:7" x14ac:dyDescent="0.35">
      <c r="E15" s="14"/>
    </row>
    <row r="16" spans="1:7" x14ac:dyDescent="0.35">
      <c r="E16" s="14"/>
    </row>
    <row r="17" spans="2:5" x14ac:dyDescent="0.35">
      <c r="E17" s="14"/>
    </row>
    <row r="18" spans="2:5" x14ac:dyDescent="0.35">
      <c r="E18" s="14"/>
    </row>
    <row r="19" spans="2:5" x14ac:dyDescent="0.35">
      <c r="E19" s="14"/>
    </row>
    <row r="20" spans="2:5" x14ac:dyDescent="0.35">
      <c r="B20" s="15"/>
      <c r="C20" s="15"/>
      <c r="E20" s="14"/>
    </row>
    <row r="21" spans="2:5" x14ac:dyDescent="0.35">
      <c r="B21" s="15"/>
      <c r="C21" s="15"/>
      <c r="E21" s="14"/>
    </row>
    <row r="22" spans="2:5" x14ac:dyDescent="0.35">
      <c r="B22" s="15"/>
      <c r="C22" s="15"/>
      <c r="E22" s="14"/>
    </row>
    <row r="23" spans="2:5" x14ac:dyDescent="0.35">
      <c r="B23" s="15"/>
      <c r="C23" s="15"/>
      <c r="E23" s="14"/>
    </row>
    <row r="24" spans="2:5" x14ac:dyDescent="0.35">
      <c r="B24" s="15"/>
      <c r="C24" s="15"/>
      <c r="E24" s="14"/>
    </row>
    <row r="25" spans="2:5" x14ac:dyDescent="0.35">
      <c r="B25" s="15"/>
      <c r="C25" s="15"/>
      <c r="E25" s="14"/>
    </row>
    <row r="26" spans="2:5" x14ac:dyDescent="0.35">
      <c r="B26" s="15"/>
      <c r="C26" s="15"/>
      <c r="E26" s="14"/>
    </row>
    <row r="27" spans="2:5" x14ac:dyDescent="0.35">
      <c r="B27" s="15"/>
      <c r="C27" s="15"/>
      <c r="E27" s="14"/>
    </row>
    <row r="28" spans="2:5" x14ac:dyDescent="0.35">
      <c r="B28" s="15"/>
      <c r="C28" s="15"/>
      <c r="E28" s="14"/>
    </row>
    <row r="29" spans="2:5" x14ac:dyDescent="0.35">
      <c r="B29" s="15"/>
      <c r="C29" s="15"/>
      <c r="E29" s="14"/>
    </row>
    <row r="30" spans="2:5" x14ac:dyDescent="0.35">
      <c r="B30" s="15"/>
      <c r="C30" s="15"/>
      <c r="E30" s="14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F5E1147-4086-488B-A2FF-5F83DD85AFBD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7cf48d45-3ddb-4389-a9c1-c115526eb52e}" enabled="0" method="" siteId="{7cf48d45-3ddb-4389-a9c1-c115526eb52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bar_plots</vt:lpstr>
      <vt:lpstr>line_plots</vt:lpstr>
      <vt:lpstr>EOS_plots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Mohammadi Dinani, Ali</cp:lastModifiedBy>
  <dcterms:created xsi:type="dcterms:W3CDTF">2025-09-26T17:19:10Z</dcterms:created>
  <dcterms:modified xsi:type="dcterms:W3CDTF">2026-10-09T18:31:59Z</dcterms:modified>
</cp:coreProperties>
</file>